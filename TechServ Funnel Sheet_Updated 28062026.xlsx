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https://d.docs.live.net/f5c90edd2ecbe79a/Desktop/TECHSERV/Pipeline and Revenue Related/"/>
    </mc:Choice>
  </mc:AlternateContent>
  <xr:revisionPtr revIDLastSave="0" documentId="8_{97875495-B43D-452F-9E2D-834DF0FB8B75}" xr6:coauthVersionLast="47" xr6:coauthVersionMax="47" xr10:uidLastSave="{00000000-0000-0000-0000-000000000000}"/>
  <bookViews>
    <workbookView xWindow="-98" yWindow="-98" windowWidth="19396" windowHeight="11475" xr2:uid="{58D215B9-B208-4171-93B2-E343F50F5182}"/>
  </bookViews>
  <sheets>
    <sheet name="Services and Product Pipeline" sheetId="1" r:id="rId1"/>
    <sheet name="Software &amp; AI Dev Pipelin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31" i="1"/>
  <c r="F4" i="1"/>
  <c r="F10" i="1"/>
  <c r="F7" i="1"/>
  <c r="F8" i="1"/>
</calcChain>
</file>

<file path=xl/sharedStrings.xml><?xml version="1.0" encoding="utf-8"?>
<sst xmlns="http://schemas.openxmlformats.org/spreadsheetml/2006/main" count="278" uniqueCount="169">
  <si>
    <t>Customer</t>
  </si>
  <si>
    <t>Service Pillar</t>
  </si>
  <si>
    <t>Sub Category</t>
  </si>
  <si>
    <t>Owner</t>
  </si>
  <si>
    <t>Status</t>
  </si>
  <si>
    <t>Estimated Value (INR)</t>
  </si>
  <si>
    <t>Probability</t>
  </si>
  <si>
    <t>Remarks / Details</t>
  </si>
  <si>
    <t>Veeam</t>
  </si>
  <si>
    <t>Marketing</t>
  </si>
  <si>
    <t>ICP/ABM: VDC Campaign</t>
  </si>
  <si>
    <t>AC</t>
  </si>
  <si>
    <t>Closed - PO received but project not executed due to lack of email/linkedin handles assignment</t>
  </si>
  <si>
    <t>In execution</t>
  </si>
  <si>
    <t>Savex</t>
  </si>
  <si>
    <t>Consulting</t>
  </si>
  <si>
    <t xml:space="preserve">Enterprise Advisory </t>
  </si>
  <si>
    <t>PS</t>
  </si>
  <si>
    <t>Proposal submitted in April 2026; 
Updated SOW shared by Atul on 18/07and new proposal being built. 
Updated proposal shared on 23/07 - pending review from AtulG; 
KPI shared by Atul - revenue an DR based - Not in line with our proposed advisory role:: To set up call with Prasanna and Atul on 17/8-18/8; 
Project stalled - KPI metrics expectation of revenue an DR ownership</t>
  </si>
  <si>
    <t>12 month growth consulting contract @ 3L</t>
  </si>
  <si>
    <t>ICP/ABM</t>
  </si>
  <si>
    <t>AC/SM</t>
  </si>
  <si>
    <t>Proposal sent to Kush on 12/06; 
PI sent on 14/07 - awaiting PO to be raised. 
Followedup on 13/08 - Kush has  not yet confirmed PO process</t>
  </si>
  <si>
    <t>6 month project from July to December 2026; Account OS (Top 50 Accounts) + 500 New Account acquisition</t>
  </si>
  <si>
    <t>Technical Services</t>
  </si>
  <si>
    <t>Managed Service</t>
  </si>
  <si>
    <t>Proposal follow-up in progress; Expected in August/September:: Will get delayed further (update as of 17/08)</t>
  </si>
  <si>
    <t>`</t>
  </si>
  <si>
    <t>VCP Migration Project. Revenue for Aug 26-Mar 27. Assumptions - 2L for 1st 2 mths, 3L for next 2 followed by 6L per month</t>
  </si>
  <si>
    <t>Lenovo Enterprise</t>
  </si>
  <si>
    <t>Sprouts</t>
  </si>
  <si>
    <t xml:space="preserve">PS/AC </t>
  </si>
  <si>
    <t>Workshop done with Amit and TR on 13/05; Proposal sent out on 22/05; follow-up demo with Jude on 28/05 - done. 
AC to followup week of 08/06; Reviewing Sprouts.ai platform versus another platform being used by the APJ regional team. 
Will need closure basis Amit Luthra conversation with PS on 03/07; 
Sample data to be created and shared with Amit and Jude - week of 27/07; 
Demo to be scheduled week of 03/08; To be followed by week of 17/08; 
31/08 - followup required with Amit Luthra</t>
  </si>
  <si>
    <t>ACV for Top 50 Account OS + 2K account DataOS</t>
  </si>
  <si>
    <t>Sprouts.ai</t>
  </si>
  <si>
    <t>Assets and Website</t>
  </si>
  <si>
    <t>Proposal sent on Feb 2026; To start from June; to close with Avi/Karan - followup</t>
  </si>
  <si>
    <t>ACV for Assets and Website design support</t>
  </si>
  <si>
    <t>Redington</t>
  </si>
  <si>
    <t>AIDA</t>
  </si>
  <si>
    <t>NDA done last week: Cost proposal share with Puneet. 
Architecture document and updated commercials to be finalised basis meeting on 02/07; 
SOW &amp; Commercial Proposal shared 22/07; 
Updated proposal sent on 29/07 - reviewed on 30/07 - specific questions on "outcome" - primarily on performance and ROI: 
Redington also reviewing data on Sprouts.ai platform:: Master Project Document shared on 13/08; 
Redington wants a MVP only SOW and Commercial to be shared - to be sent out on 17/08 - onboarding and contracting to start post that; 
31/08 - Contracting and Commercial closure still pending</t>
  </si>
  <si>
    <t>Marketing COE: Proposal shared</t>
  </si>
  <si>
    <t xml:space="preserve">Galaxy </t>
  </si>
  <si>
    <t>BizOps</t>
  </si>
  <si>
    <t>DSS</t>
  </si>
  <si>
    <t>DS</t>
  </si>
  <si>
    <t xml:space="preserve">Formalities PO etc to be assessed week of 27/07; 
Platform loading to Galaxy server week of 03/08: 
Awaiting input from Sanjay on execution/commercials; 
31/08 - All credentials etc shared for the 5 members to be using the tool. Galaxy team to test and provide feedback </t>
  </si>
  <si>
    <t>HPI Singapore</t>
  </si>
  <si>
    <t>Partner MDF tool (custom)</t>
  </si>
  <si>
    <t>PS/AB</t>
  </si>
  <si>
    <t>31/08 - Prototype to be shared with Ankur once they share the partner details</t>
  </si>
  <si>
    <t>TBD</t>
  </si>
  <si>
    <t xml:space="preserve">Lenovo ISG </t>
  </si>
  <si>
    <t>Strategic partner engagement - APJ</t>
  </si>
  <si>
    <t>RP Tech</t>
  </si>
  <si>
    <t>Enterprise Business Build</t>
  </si>
  <si>
    <t>Approach note shared on 27/08- next steps based on feedback</t>
  </si>
  <si>
    <t>BCG</t>
  </si>
  <si>
    <t>AI Services for tools</t>
  </si>
  <si>
    <t xml:space="preserve">AISA like solution for customer interaction in stores of clients of BCG
</t>
  </si>
  <si>
    <t>Resource augmentation</t>
  </si>
  <si>
    <t>AI ready resources</t>
  </si>
  <si>
    <t>Commvault - Marketing</t>
  </si>
  <si>
    <t>AC to followup on Marketing OS and Account OS: setup demo; Praveen to speak to Abhishek - week of 1506</t>
  </si>
  <si>
    <t>Meeting with Abhishek Praveen done on 22/05</t>
  </si>
  <si>
    <t xml:space="preserve">Esconet </t>
  </si>
  <si>
    <t>Consulting + Pre/Post Sales</t>
  </si>
  <si>
    <t>AB</t>
  </si>
  <si>
    <t>Esconet followup and meeting done by Asif (07/05/2026); To check with Asif</t>
  </si>
  <si>
    <t>Initial meeting done - followup required</t>
  </si>
  <si>
    <t>Fervent</t>
  </si>
  <si>
    <t>AIDA platform</t>
  </si>
  <si>
    <t>Demo account given to Fervent team; No response</t>
  </si>
  <si>
    <t>Orbit TechSol</t>
  </si>
  <si>
    <t>Demo to be setup: Expected mid-June; Arunava to followup</t>
  </si>
  <si>
    <t>Initial meeting done - demo to be setup for BidBrain</t>
  </si>
  <si>
    <t>NetApp</t>
  </si>
  <si>
    <t>Initiate discussion with Subho</t>
  </si>
  <si>
    <t>Scope to be defined</t>
  </si>
  <si>
    <t>Kestone</t>
  </si>
  <si>
    <t>TCG Purpose Lab</t>
  </si>
  <si>
    <t>SOW to be defined</t>
  </si>
  <si>
    <t>Virtualisation POD : HPE &amp; Nutanix</t>
  </si>
  <si>
    <t>Marketing as as Service</t>
  </si>
  <si>
    <t>Lost to Wizard .io</t>
  </si>
  <si>
    <t>Updated proposal for be sent</t>
  </si>
  <si>
    <t>Commvault (GSI)</t>
  </si>
  <si>
    <t>Renewal</t>
  </si>
  <si>
    <t>Cancelled</t>
  </si>
  <si>
    <t>Proposal Sent</t>
  </si>
  <si>
    <t>GeoX</t>
  </si>
  <si>
    <t>Drop</t>
  </si>
  <si>
    <t>Sanjeev Kohli followup</t>
  </si>
  <si>
    <t>IRIS Global Services</t>
  </si>
  <si>
    <t>Pre/Post Sales+Marketing</t>
  </si>
  <si>
    <t>Meeting done</t>
  </si>
  <si>
    <t>Nutanix</t>
  </si>
  <si>
    <t>Account OS + Data OS</t>
  </si>
  <si>
    <t xml:space="preserve">Demo Build for Nutanix India + Saarc: Demo and review done on 01/07. Followup needed for next steps; CANCELLED </t>
  </si>
  <si>
    <t>Deep dive into ICICI Bank, HDFC Bank, Infosys for account OS - review data depth &amp; accuracy; .Next event - quality of attendees; By City (top 10 cities in India) * B'esh, S Lanka and Nepal - Accounts, vertical analysis etc..; Strategy OS | Marketing OS | Account OS</t>
  </si>
  <si>
    <t>Lead Gen PoD</t>
  </si>
  <si>
    <t>Saji/PS</t>
  </si>
  <si>
    <t>Closed: Project cancelled - refund to be processed (50% advance)</t>
  </si>
  <si>
    <t>50% advance to be refunded basis conversation with Sanjay P</t>
  </si>
  <si>
    <t xml:space="preserve">Technobind </t>
  </si>
  <si>
    <t>Growth Consulting</t>
  </si>
  <si>
    <t>Consulting + Bid Brain + Sprouts</t>
  </si>
  <si>
    <t>Proposal sent: 04/05/2026:: Followup email sent by Praveen: 11/05; Followup conversation on pending; Alignment call done on 15/06 - awaiting details from PGJ - no response on followup on till 03/07; Updated proposal shared on 17/07 at new price of 1.5L/month; GJ conversation to be done week of 27/07; No response - likely to be cancelled;  Price expectation cannot me met - CANCELLED</t>
  </si>
  <si>
    <t>6 month project for growth advisory + Sprouts + BidBrain; Updated SOW shared basis new price - Sprouts dropped</t>
  </si>
  <si>
    <t>IT Channel Partners:</t>
  </si>
  <si>
    <t>Galaxy</t>
  </si>
  <si>
    <t>Chavans</t>
  </si>
  <si>
    <t>Pentagon</t>
  </si>
  <si>
    <t>Wysetek</t>
  </si>
  <si>
    <t>Ashtech</t>
  </si>
  <si>
    <t>Sunfinity</t>
  </si>
  <si>
    <t>Timelines</t>
  </si>
  <si>
    <t>Actions</t>
  </si>
  <si>
    <t>TS</t>
  </si>
  <si>
    <t>Engaged</t>
  </si>
  <si>
    <t>Closure Pending</t>
  </si>
  <si>
    <t>Chavans Technologies</t>
  </si>
  <si>
    <t>Seen early stage demo</t>
  </si>
  <si>
    <t>Inflow Technologies</t>
  </si>
  <si>
    <t>AC to introduce TS</t>
  </si>
  <si>
    <t>Demo to be scheduled</t>
  </si>
  <si>
    <t>PTC, SG</t>
  </si>
  <si>
    <t>Demo done</t>
  </si>
  <si>
    <t>Perfekt, AU</t>
  </si>
  <si>
    <t>New</t>
  </si>
  <si>
    <t>PS to introduce TS</t>
  </si>
  <si>
    <t>Commvault</t>
  </si>
  <si>
    <t xml:space="preserve">PS to introduce AC/TS </t>
  </si>
  <si>
    <t>Concept, Pune</t>
  </si>
  <si>
    <t>TS to lead</t>
  </si>
  <si>
    <t>Technobind</t>
  </si>
  <si>
    <t>TS/AC to take forward</t>
  </si>
  <si>
    <t>TechServ Software Development Funnel</t>
  </si>
  <si>
    <t>Software Dev Type</t>
  </si>
  <si>
    <t>Margin</t>
  </si>
  <si>
    <t>LanceSoft</t>
  </si>
  <si>
    <t>Augumentation</t>
  </si>
  <si>
    <t>Asif</t>
  </si>
  <si>
    <t>Agreements Done</t>
  </si>
  <si>
    <t>EmiratesLitFest</t>
  </si>
  <si>
    <t>Software Development</t>
  </si>
  <si>
    <t>Development</t>
  </si>
  <si>
    <t>KickOff Today</t>
  </si>
  <si>
    <t>2000 AED</t>
  </si>
  <si>
    <t>L&amp;T PES</t>
  </si>
  <si>
    <t>Costing discussion pending</t>
  </si>
  <si>
    <t>Cold</t>
  </si>
  <si>
    <t>Manipal Fintech</t>
  </si>
  <si>
    <t>Closed - Costing discussion pending</t>
  </si>
  <si>
    <t>350000/month</t>
  </si>
  <si>
    <t>350/contract</t>
  </si>
  <si>
    <t>India Assetz</t>
  </si>
  <si>
    <t>Asif/Praveen</t>
  </si>
  <si>
    <t>Warm - Discussions Open</t>
  </si>
  <si>
    <t>HP - MDF</t>
  </si>
  <si>
    <t>Patient History</t>
  </si>
  <si>
    <t>RedBaron - Alienware</t>
  </si>
  <si>
    <t>Lost</t>
  </si>
  <si>
    <t>TCG PurposeLabs</t>
  </si>
  <si>
    <t>CoE/Augumentation</t>
  </si>
  <si>
    <t>NDA in Process - Interviews in process</t>
  </si>
  <si>
    <t>11,20,000/month</t>
  </si>
  <si>
    <t>RedBaron</t>
  </si>
  <si>
    <t>28,00,000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</si>
</sst>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b/>
      <sz val="14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4" borderId="0" xfId="0" applyFill="1"/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5" borderId="0" xfId="0" applyFill="1"/>
    <xf numFmtId="0" fontId="0" fillId="4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5" borderId="1" xfId="0" applyFill="1" applyBorder="1" applyAlignment="1">
      <alignment wrapText="1"/>
    </xf>
    <xf numFmtId="0" fontId="0" fillId="6" borderId="0" xfId="0" applyFill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2" borderId="0" xfId="0" applyFill="1"/>
    <xf numFmtId="0" fontId="0" fillId="5" borderId="2" xfId="0" applyFill="1" applyBorder="1"/>
    <xf numFmtId="0" fontId="0" fillId="3" borderId="1" xfId="0" applyFill="1" applyBorder="1"/>
    <xf numFmtId="0" fontId="0" fillId="3" borderId="0" xfId="0" applyFill="1"/>
    <xf numFmtId="0" fontId="0" fillId="3" borderId="1" xfId="0" applyFill="1" applyBorder="1" applyAlignment="1">
      <alignment wrapText="1"/>
    </xf>
    <xf numFmtId="0" fontId="1" fillId="3" borderId="0" xfId="0" applyFont="1" applyFill="1"/>
    <xf numFmtId="9" fontId="0" fillId="5" borderId="1" xfId="0" applyNumberFormat="1" applyFill="1" applyBorder="1"/>
    <xf numFmtId="9" fontId="0" fillId="2" borderId="1" xfId="0" applyNumberFormat="1" applyFill="1" applyBorder="1"/>
    <xf numFmtId="0" fontId="1" fillId="0" borderId="1" xfId="0" applyFont="1" applyBorder="1" applyAlignment="1">
      <alignment horizontal="center" wrapText="1"/>
    </xf>
    <xf numFmtId="9" fontId="0" fillId="0" borderId="1" xfId="0" applyNumberFormat="1" applyBorder="1"/>
    <xf numFmtId="9" fontId="0" fillId="4" borderId="1" xfId="0" applyNumberFormat="1" applyFill="1" applyBorder="1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wrapText="1"/>
    </xf>
    <xf numFmtId="9" fontId="0" fillId="7" borderId="1" xfId="0" applyNumberFormat="1" applyFill="1" applyBorder="1"/>
    <xf numFmtId="0" fontId="0" fillId="7" borderId="0" xfId="0" applyFill="1" applyAlignment="1">
      <alignment wrapText="1"/>
    </xf>
    <xf numFmtId="0" fontId="0" fillId="7" borderId="0" xfId="0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FF9E2-78FE-4CDB-8C58-0AFA8618F57D}">
  <dimension ref="A1:I61"/>
  <sheetViews>
    <sheetView tabSelected="1" workbookViewId="0">
      <selection activeCell="E9" sqref="E9"/>
    </sheetView>
  </sheetViews>
  <sheetFormatPr defaultRowHeight="14.25"/>
  <cols>
    <col min="1" max="1" width="22" customWidth="1"/>
    <col min="2" max="2" width="30.85546875" customWidth="1"/>
    <col min="3" max="3" width="28.5703125" customWidth="1"/>
    <col min="4" max="4" width="18.140625" bestFit="1" customWidth="1"/>
    <col min="5" max="5" width="67.140625" customWidth="1"/>
    <col min="6" max="6" width="19.42578125" customWidth="1"/>
    <col min="7" max="7" width="11.140625" customWidth="1"/>
    <col min="8" max="8" width="56.140625" customWidth="1"/>
  </cols>
  <sheetData>
    <row r="1" spans="1:9" ht="4.5" customHeight="1"/>
    <row r="2" spans="1:9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27" t="s">
        <v>7</v>
      </c>
    </row>
    <row r="3" spans="1:9" s="8" customFormat="1" ht="29.25">
      <c r="A3" s="7" t="s">
        <v>8</v>
      </c>
      <c r="B3" s="7" t="s">
        <v>9</v>
      </c>
      <c r="C3" s="7" t="s">
        <v>10</v>
      </c>
      <c r="D3" s="6" t="s">
        <v>11</v>
      </c>
      <c r="E3" s="33" t="s">
        <v>12</v>
      </c>
      <c r="F3" s="7">
        <v>440000</v>
      </c>
      <c r="G3" s="29">
        <v>1</v>
      </c>
      <c r="H3" s="12" t="s">
        <v>13</v>
      </c>
    </row>
    <row r="4" spans="1:9" s="8" customFormat="1" ht="87">
      <c r="A4" s="7" t="s">
        <v>14</v>
      </c>
      <c r="B4" s="7" t="s">
        <v>15</v>
      </c>
      <c r="C4" s="7" t="s">
        <v>16</v>
      </c>
      <c r="D4" s="6" t="s">
        <v>17</v>
      </c>
      <c r="E4" s="12" t="s">
        <v>18</v>
      </c>
      <c r="F4" s="7">
        <f>300000*12</f>
        <v>3600000</v>
      </c>
      <c r="G4" s="29">
        <v>0.7</v>
      </c>
      <c r="H4" s="12" t="s">
        <v>19</v>
      </c>
    </row>
    <row r="5" spans="1:9" s="11" customFormat="1" ht="43.5">
      <c r="A5" s="10" t="s">
        <v>8</v>
      </c>
      <c r="B5" s="10" t="s">
        <v>9</v>
      </c>
      <c r="C5" s="10" t="s">
        <v>20</v>
      </c>
      <c r="D5" s="9" t="s">
        <v>21</v>
      </c>
      <c r="E5" s="14" t="s">
        <v>22</v>
      </c>
      <c r="F5" s="10">
        <f>7000*95</f>
        <v>665000</v>
      </c>
      <c r="G5" s="25">
        <v>0.9</v>
      </c>
      <c r="H5" s="14" t="s">
        <v>23</v>
      </c>
    </row>
    <row r="6" spans="1:9" s="19" customFormat="1" ht="29.25">
      <c r="A6" s="17" t="s">
        <v>8</v>
      </c>
      <c r="B6" s="17" t="s">
        <v>24</v>
      </c>
      <c r="C6" s="17" t="s">
        <v>25</v>
      </c>
      <c r="D6" s="16" t="s">
        <v>17</v>
      </c>
      <c r="E6" s="18" t="s">
        <v>26</v>
      </c>
      <c r="F6" s="17" t="s">
        <v>27</v>
      </c>
      <c r="G6" s="26">
        <v>0.5</v>
      </c>
      <c r="H6" s="18" t="s">
        <v>28</v>
      </c>
    </row>
    <row r="7" spans="1:9" s="19" customFormat="1" ht="115.5">
      <c r="A7" s="17" t="s">
        <v>29</v>
      </c>
      <c r="B7" s="17" t="s">
        <v>9</v>
      </c>
      <c r="C7" s="17" t="s">
        <v>30</v>
      </c>
      <c r="D7" s="16" t="s">
        <v>31</v>
      </c>
      <c r="E7" s="18" t="s">
        <v>32</v>
      </c>
      <c r="F7" s="17">
        <f>((300*50)+30000)*95</f>
        <v>4275000</v>
      </c>
      <c r="G7" s="26">
        <v>0.5</v>
      </c>
      <c r="H7" s="18" t="s">
        <v>33</v>
      </c>
    </row>
    <row r="8" spans="1:9" s="11" customFormat="1" ht="28.5">
      <c r="A8" s="10" t="s">
        <v>34</v>
      </c>
      <c r="B8" s="10" t="s">
        <v>9</v>
      </c>
      <c r="C8" s="10" t="s">
        <v>35</v>
      </c>
      <c r="D8" s="9" t="s">
        <v>11</v>
      </c>
      <c r="E8" s="14" t="s">
        <v>36</v>
      </c>
      <c r="F8" s="10">
        <f>(2000*12)*95</f>
        <v>2280000</v>
      </c>
      <c r="G8" s="25">
        <v>0.3</v>
      </c>
      <c r="H8" s="14" t="s">
        <v>37</v>
      </c>
      <c r="I8" s="20"/>
    </row>
    <row r="9" spans="1:9" s="19" customFormat="1" ht="166.5" customHeight="1">
      <c r="A9" s="17" t="s">
        <v>38</v>
      </c>
      <c r="B9" s="17" t="s">
        <v>9</v>
      </c>
      <c r="C9" s="17" t="s">
        <v>39</v>
      </c>
      <c r="D9" s="16" t="s">
        <v>11</v>
      </c>
      <c r="E9" s="18" t="s">
        <v>40</v>
      </c>
      <c r="F9" s="17">
        <v>4250000</v>
      </c>
      <c r="G9" s="26">
        <v>1</v>
      </c>
      <c r="H9" s="18" t="s">
        <v>41</v>
      </c>
    </row>
    <row r="10" spans="1:9" s="19" customFormat="1" ht="79.5" customHeight="1">
      <c r="A10" s="17" t="s">
        <v>42</v>
      </c>
      <c r="B10" s="17" t="s">
        <v>43</v>
      </c>
      <c r="C10" s="17" t="s">
        <v>44</v>
      </c>
      <c r="D10" s="16" t="s">
        <v>45</v>
      </c>
      <c r="E10" s="18" t="s">
        <v>46</v>
      </c>
      <c r="F10" s="17">
        <f>(50000*3)+(100000*9)</f>
        <v>1050000</v>
      </c>
      <c r="G10" s="17"/>
      <c r="H10" s="18"/>
    </row>
    <row r="11" spans="1:9" s="19" customFormat="1" ht="17.25" customHeight="1">
      <c r="A11" s="17" t="s">
        <v>47</v>
      </c>
      <c r="B11" s="17" t="s">
        <v>48</v>
      </c>
      <c r="C11" s="17"/>
      <c r="D11" s="16" t="s">
        <v>49</v>
      </c>
      <c r="E11" s="18" t="s">
        <v>50</v>
      </c>
      <c r="F11" s="17" t="s">
        <v>51</v>
      </c>
      <c r="G11" s="17"/>
      <c r="H11" s="18"/>
    </row>
    <row r="12" spans="1:9" s="19" customFormat="1" ht="15">
      <c r="A12" s="17" t="s">
        <v>52</v>
      </c>
      <c r="B12" s="17" t="s">
        <v>53</v>
      </c>
      <c r="C12" s="17"/>
      <c r="D12" s="16" t="s">
        <v>17</v>
      </c>
      <c r="E12" s="18"/>
      <c r="F12" s="17"/>
      <c r="G12" s="17"/>
      <c r="H12" s="18"/>
    </row>
    <row r="13" spans="1:9" s="19" customFormat="1" ht="15">
      <c r="A13" s="17" t="s">
        <v>54</v>
      </c>
      <c r="B13" s="17" t="s">
        <v>55</v>
      </c>
      <c r="C13" s="17"/>
      <c r="D13" s="16" t="s">
        <v>17</v>
      </c>
      <c r="E13" s="18" t="s">
        <v>56</v>
      </c>
      <c r="F13" s="17"/>
      <c r="G13" s="17"/>
      <c r="H13" s="18"/>
    </row>
    <row r="14" spans="1:9" s="19" customFormat="1" ht="43.5">
      <c r="A14" s="17" t="s">
        <v>57</v>
      </c>
      <c r="B14" s="17" t="s">
        <v>58</v>
      </c>
      <c r="C14" s="17"/>
      <c r="D14" s="16"/>
      <c r="E14" s="18" t="s">
        <v>59</v>
      </c>
      <c r="F14" s="17"/>
      <c r="G14" s="17"/>
      <c r="H14" s="18"/>
    </row>
    <row r="15" spans="1:9" s="19" customFormat="1" ht="15">
      <c r="A15" s="17" t="s">
        <v>57</v>
      </c>
      <c r="B15" s="17" t="s">
        <v>60</v>
      </c>
      <c r="C15" s="17"/>
      <c r="D15" s="16"/>
      <c r="E15" s="18" t="s">
        <v>61</v>
      </c>
      <c r="F15" s="17"/>
      <c r="G15" s="17"/>
      <c r="H15" s="18"/>
    </row>
    <row r="16" spans="1:9" ht="42.75">
      <c r="A16" s="2" t="s">
        <v>62</v>
      </c>
      <c r="B16" s="2" t="s">
        <v>20</v>
      </c>
      <c r="C16" s="2"/>
      <c r="D16" s="3" t="s">
        <v>11</v>
      </c>
      <c r="E16" s="13" t="s">
        <v>63</v>
      </c>
      <c r="F16" s="2"/>
      <c r="G16" s="2"/>
      <c r="H16" s="13" t="s">
        <v>64</v>
      </c>
    </row>
    <row r="17" spans="1:8" s="11" customFormat="1" ht="28.5">
      <c r="A17" s="2" t="s">
        <v>65</v>
      </c>
      <c r="B17" s="2" t="s">
        <v>66</v>
      </c>
      <c r="C17" s="2"/>
      <c r="D17" s="3" t="s">
        <v>67</v>
      </c>
      <c r="E17" s="13" t="s">
        <v>68</v>
      </c>
      <c r="F17" s="2"/>
      <c r="G17" s="2"/>
      <c r="H17" s="13" t="s">
        <v>69</v>
      </c>
    </row>
    <row r="18" spans="1:8" s="11" customFormat="1" ht="28.5">
      <c r="A18" s="2" t="s">
        <v>70</v>
      </c>
      <c r="B18" s="2" t="s">
        <v>71</v>
      </c>
      <c r="C18" s="2"/>
      <c r="D18" s="3" t="s">
        <v>11</v>
      </c>
      <c r="E18" s="13" t="s">
        <v>72</v>
      </c>
      <c r="F18" s="2"/>
      <c r="G18" s="2"/>
      <c r="H18" s="13"/>
    </row>
    <row r="19" spans="1:8" s="22" customFormat="1" ht="28.5">
      <c r="A19" s="21" t="s">
        <v>73</v>
      </c>
      <c r="B19" s="21" t="s">
        <v>66</v>
      </c>
      <c r="C19" s="21"/>
      <c r="D19" s="5" t="s">
        <v>11</v>
      </c>
      <c r="E19" s="23" t="s">
        <v>74</v>
      </c>
      <c r="F19" s="21"/>
      <c r="G19" s="21"/>
      <c r="H19" s="23" t="s">
        <v>75</v>
      </c>
    </row>
    <row r="20" spans="1:8">
      <c r="A20" s="2" t="s">
        <v>76</v>
      </c>
      <c r="B20" s="2"/>
      <c r="C20" s="2"/>
      <c r="D20" s="3" t="s">
        <v>11</v>
      </c>
      <c r="E20" s="13" t="s">
        <v>77</v>
      </c>
      <c r="F20" s="2"/>
      <c r="G20" s="2"/>
      <c r="H20" s="13" t="s">
        <v>78</v>
      </c>
    </row>
    <row r="21" spans="1:8">
      <c r="A21" s="2" t="s">
        <v>79</v>
      </c>
      <c r="B21" s="2" t="s">
        <v>20</v>
      </c>
      <c r="C21" s="2"/>
      <c r="D21" s="3"/>
      <c r="E21" s="2"/>
      <c r="F21" s="2"/>
      <c r="G21" s="2"/>
      <c r="H21" s="13"/>
    </row>
    <row r="22" spans="1:8">
      <c r="A22" s="2" t="s">
        <v>80</v>
      </c>
      <c r="B22" s="2" t="s">
        <v>24</v>
      </c>
      <c r="C22" s="2"/>
      <c r="D22" s="3" t="s">
        <v>67</v>
      </c>
      <c r="E22" s="2"/>
      <c r="F22" s="2"/>
      <c r="G22" s="2"/>
      <c r="H22" s="13" t="s">
        <v>81</v>
      </c>
    </row>
    <row r="23" spans="1:8" s="22" customFormat="1">
      <c r="A23" s="21" t="s">
        <v>14</v>
      </c>
      <c r="B23" s="21" t="s">
        <v>24</v>
      </c>
      <c r="C23" s="21"/>
      <c r="D23" s="21"/>
      <c r="E23" s="21"/>
      <c r="F23" s="21"/>
      <c r="G23" s="21"/>
      <c r="H23" s="23" t="s">
        <v>82</v>
      </c>
    </row>
    <row r="24" spans="1:8" s="22" customFormat="1">
      <c r="A24" s="21" t="s">
        <v>14</v>
      </c>
      <c r="B24" s="21" t="s">
        <v>9</v>
      </c>
      <c r="C24" s="21"/>
      <c r="D24" s="21"/>
      <c r="E24" s="21"/>
      <c r="F24" s="21"/>
      <c r="G24" s="21"/>
      <c r="H24" s="23" t="s">
        <v>83</v>
      </c>
    </row>
    <row r="25" spans="1:8" s="8" customFormat="1">
      <c r="A25" s="7" t="s">
        <v>14</v>
      </c>
      <c r="B25" s="7" t="s">
        <v>20</v>
      </c>
      <c r="C25" s="7"/>
      <c r="D25" s="6" t="s">
        <v>31</v>
      </c>
      <c r="E25" s="12" t="s">
        <v>84</v>
      </c>
      <c r="F25" s="7"/>
      <c r="G25" s="7"/>
      <c r="H25" s="12" t="s">
        <v>85</v>
      </c>
    </row>
    <row r="26" spans="1:8" s="8" customFormat="1">
      <c r="A26" s="7" t="s">
        <v>86</v>
      </c>
      <c r="B26" s="7" t="s">
        <v>87</v>
      </c>
      <c r="C26" s="7"/>
      <c r="D26" s="6" t="s">
        <v>11</v>
      </c>
      <c r="E26" s="12" t="s">
        <v>88</v>
      </c>
      <c r="F26" s="7"/>
      <c r="G26" s="7"/>
      <c r="H26" s="12" t="s">
        <v>89</v>
      </c>
    </row>
    <row r="27" spans="1:8" s="8" customFormat="1">
      <c r="A27" s="7" t="s">
        <v>42</v>
      </c>
      <c r="B27" s="7" t="s">
        <v>90</v>
      </c>
      <c r="C27" s="7"/>
      <c r="D27" s="6" t="s">
        <v>21</v>
      </c>
      <c r="E27" s="12" t="s">
        <v>91</v>
      </c>
      <c r="F27" s="7"/>
      <c r="G27" s="7"/>
      <c r="H27" s="12" t="s">
        <v>92</v>
      </c>
    </row>
    <row r="28" spans="1:8" s="8" customFormat="1">
      <c r="A28" s="7" t="s">
        <v>93</v>
      </c>
      <c r="B28" s="7" t="s">
        <v>94</v>
      </c>
      <c r="C28" s="7"/>
      <c r="D28" s="6" t="s">
        <v>17</v>
      </c>
      <c r="E28" s="12"/>
      <c r="F28" s="7"/>
      <c r="G28" s="7"/>
      <c r="H28" s="12" t="s">
        <v>95</v>
      </c>
    </row>
    <row r="29" spans="1:8" s="8" customFormat="1" ht="65.25" customHeight="1">
      <c r="A29" s="7" t="s">
        <v>96</v>
      </c>
      <c r="B29" s="7" t="s">
        <v>9</v>
      </c>
      <c r="C29" s="7" t="s">
        <v>97</v>
      </c>
      <c r="D29" s="6" t="s">
        <v>21</v>
      </c>
      <c r="E29" s="12" t="s">
        <v>98</v>
      </c>
      <c r="F29" s="7"/>
      <c r="G29" s="7"/>
      <c r="H29" s="12" t="s">
        <v>99</v>
      </c>
    </row>
    <row r="30" spans="1:8" s="8" customFormat="1" ht="29.25">
      <c r="A30" s="7" t="s">
        <v>42</v>
      </c>
      <c r="B30" s="7" t="s">
        <v>9</v>
      </c>
      <c r="C30" s="7" t="s">
        <v>100</v>
      </c>
      <c r="D30" s="6" t="s">
        <v>101</v>
      </c>
      <c r="E30" s="12" t="s">
        <v>102</v>
      </c>
      <c r="F30" s="7">
        <v>950000</v>
      </c>
      <c r="G30" s="29">
        <v>1</v>
      </c>
      <c r="H30" s="12" t="s">
        <v>103</v>
      </c>
    </row>
    <row r="31" spans="1:8" s="8" customFormat="1" ht="75.75" customHeight="1">
      <c r="A31" s="7" t="s">
        <v>104</v>
      </c>
      <c r="B31" s="7" t="s">
        <v>105</v>
      </c>
      <c r="C31" s="7" t="s">
        <v>106</v>
      </c>
      <c r="D31" s="6" t="s">
        <v>11</v>
      </c>
      <c r="E31" s="12" t="s">
        <v>107</v>
      </c>
      <c r="F31" s="7">
        <f>150000*6</f>
        <v>900000</v>
      </c>
      <c r="G31" s="29">
        <v>0.8</v>
      </c>
      <c r="H31" s="12" t="s">
        <v>108</v>
      </c>
    </row>
    <row r="32" spans="1:8">
      <c r="A32" s="2"/>
      <c r="B32" s="2"/>
      <c r="C32" s="2"/>
      <c r="D32" s="2"/>
      <c r="E32" s="2"/>
      <c r="F32" s="2"/>
      <c r="G32" s="2"/>
      <c r="H32" s="2"/>
    </row>
    <row r="33" spans="1:8">
      <c r="A33" s="2"/>
      <c r="B33" s="2"/>
      <c r="C33" s="2"/>
      <c r="D33" s="2"/>
      <c r="E33" s="2"/>
      <c r="F33" s="2"/>
      <c r="G33" s="2"/>
      <c r="H33" s="2"/>
    </row>
    <row r="34" spans="1:8">
      <c r="A34" s="4" t="s">
        <v>109</v>
      </c>
      <c r="B34" s="2"/>
      <c r="C34" s="2"/>
      <c r="D34" s="2"/>
      <c r="E34" s="2"/>
      <c r="F34" s="2"/>
      <c r="G34" s="2"/>
      <c r="H34" s="2"/>
    </row>
    <row r="35" spans="1:8">
      <c r="A35" s="2" t="s">
        <v>38</v>
      </c>
      <c r="B35" s="2" t="s">
        <v>30</v>
      </c>
      <c r="C35" s="2"/>
      <c r="D35" s="2"/>
      <c r="E35" s="2"/>
      <c r="F35" s="2"/>
      <c r="G35" s="2"/>
      <c r="H35" s="2"/>
    </row>
    <row r="36" spans="1:8">
      <c r="A36" s="2" t="s">
        <v>14</v>
      </c>
      <c r="B36" s="2" t="s">
        <v>30</v>
      </c>
      <c r="C36" s="2"/>
      <c r="D36" s="2"/>
      <c r="E36" s="2"/>
      <c r="F36" s="2"/>
      <c r="G36" s="2"/>
      <c r="H36" s="2"/>
    </row>
    <row r="37" spans="1:8">
      <c r="A37" s="2" t="s">
        <v>110</v>
      </c>
      <c r="B37" s="2" t="s">
        <v>30</v>
      </c>
      <c r="C37" s="2"/>
      <c r="D37" s="2"/>
      <c r="E37" s="2"/>
      <c r="F37" s="2"/>
      <c r="G37" s="2"/>
      <c r="H37" s="2"/>
    </row>
    <row r="38" spans="1:8">
      <c r="A38" s="2" t="s">
        <v>111</v>
      </c>
      <c r="B38" s="2" t="s">
        <v>30</v>
      </c>
      <c r="C38" s="2"/>
      <c r="D38" s="2"/>
      <c r="E38" s="2"/>
      <c r="F38" s="2"/>
      <c r="G38" s="2"/>
      <c r="H38" s="2"/>
    </row>
    <row r="39" spans="1:8">
      <c r="A39" s="2" t="s">
        <v>112</v>
      </c>
      <c r="B39" s="2" t="s">
        <v>30</v>
      </c>
      <c r="C39" s="2"/>
      <c r="D39" s="2"/>
      <c r="E39" s="2"/>
      <c r="F39" s="2"/>
      <c r="G39" s="2"/>
      <c r="H39" s="2"/>
    </row>
    <row r="40" spans="1:8">
      <c r="A40" s="2" t="s">
        <v>113</v>
      </c>
      <c r="B40" s="2" t="s">
        <v>30</v>
      </c>
      <c r="C40" s="2"/>
      <c r="D40" s="2"/>
      <c r="E40" s="2"/>
      <c r="F40" s="2"/>
      <c r="G40" s="2"/>
      <c r="H40" s="2"/>
    </row>
    <row r="41" spans="1:8">
      <c r="A41" s="2" t="s">
        <v>114</v>
      </c>
      <c r="B41" s="2" t="s">
        <v>30</v>
      </c>
      <c r="C41" s="2"/>
      <c r="D41" s="2"/>
      <c r="E41" s="2"/>
      <c r="F41" s="2"/>
      <c r="G41" s="2"/>
      <c r="H41" s="2"/>
    </row>
    <row r="42" spans="1:8">
      <c r="A42" s="2" t="s">
        <v>115</v>
      </c>
      <c r="B42" s="2" t="s">
        <v>30</v>
      </c>
      <c r="C42" s="2"/>
      <c r="D42" s="2"/>
      <c r="E42" s="2"/>
      <c r="F42" s="2"/>
      <c r="G42" s="2"/>
      <c r="H42" s="2"/>
    </row>
    <row r="45" spans="1:8">
      <c r="A45" s="1" t="s">
        <v>0</v>
      </c>
      <c r="B45" s="1" t="s">
        <v>3</v>
      </c>
      <c r="C45" s="1"/>
      <c r="D45" s="1" t="s">
        <v>4</v>
      </c>
      <c r="E45" s="1" t="s">
        <v>116</v>
      </c>
      <c r="F45" s="1"/>
      <c r="G45" s="1"/>
      <c r="H45" s="1" t="s">
        <v>117</v>
      </c>
    </row>
    <row r="46" spans="1:8">
      <c r="A46" s="2" t="s">
        <v>14</v>
      </c>
      <c r="B46" s="3" t="s">
        <v>118</v>
      </c>
      <c r="C46" s="3"/>
      <c r="D46" s="3" t="s">
        <v>119</v>
      </c>
      <c r="E46" s="2"/>
      <c r="F46" s="2"/>
      <c r="G46" s="2"/>
      <c r="H46" s="2" t="s">
        <v>120</v>
      </c>
    </row>
    <row r="47" spans="1:8">
      <c r="A47" s="2" t="s">
        <v>110</v>
      </c>
      <c r="B47" s="3" t="s">
        <v>118</v>
      </c>
      <c r="C47" s="3"/>
      <c r="D47" s="3" t="s">
        <v>119</v>
      </c>
      <c r="E47" s="2"/>
      <c r="F47" s="2"/>
      <c r="G47" s="2"/>
      <c r="H47" s="2" t="s">
        <v>120</v>
      </c>
    </row>
    <row r="48" spans="1:8">
      <c r="A48" s="2" t="s">
        <v>121</v>
      </c>
      <c r="B48" s="3" t="s">
        <v>118</v>
      </c>
      <c r="C48" s="3"/>
      <c r="D48" s="3" t="s">
        <v>122</v>
      </c>
      <c r="E48" s="2"/>
      <c r="F48" s="2"/>
      <c r="G48" s="2"/>
      <c r="H48" s="2" t="s">
        <v>120</v>
      </c>
    </row>
    <row r="49" spans="1:8">
      <c r="A49" s="2" t="s">
        <v>123</v>
      </c>
      <c r="B49" s="3" t="s">
        <v>118</v>
      </c>
      <c r="C49" s="3"/>
      <c r="D49" s="3" t="s">
        <v>122</v>
      </c>
      <c r="E49" s="2"/>
      <c r="F49" s="2"/>
      <c r="G49" s="2"/>
      <c r="H49" s="2" t="s">
        <v>124</v>
      </c>
    </row>
    <row r="50" spans="1:8">
      <c r="A50" s="2" t="s">
        <v>115</v>
      </c>
      <c r="B50" s="3" t="s">
        <v>118</v>
      </c>
      <c r="C50" s="3"/>
      <c r="D50" s="3" t="s">
        <v>122</v>
      </c>
      <c r="E50" s="2"/>
      <c r="F50" s="2"/>
      <c r="G50" s="2"/>
      <c r="H50" s="2" t="s">
        <v>125</v>
      </c>
    </row>
    <row r="51" spans="1:8">
      <c r="A51" s="2" t="s">
        <v>126</v>
      </c>
      <c r="B51" s="3" t="s">
        <v>118</v>
      </c>
      <c r="C51" s="3"/>
      <c r="D51" s="3" t="s">
        <v>127</v>
      </c>
      <c r="E51" s="2"/>
      <c r="F51" s="2"/>
      <c r="G51" s="2"/>
      <c r="H51" s="2" t="s">
        <v>120</v>
      </c>
    </row>
    <row r="52" spans="1:8">
      <c r="A52" s="2" t="s">
        <v>128</v>
      </c>
      <c r="B52" s="3" t="s">
        <v>118</v>
      </c>
      <c r="C52" s="3"/>
      <c r="D52" s="3" t="s">
        <v>129</v>
      </c>
      <c r="E52" s="2"/>
      <c r="F52" s="2"/>
      <c r="G52" s="2"/>
      <c r="H52" s="2" t="s">
        <v>130</v>
      </c>
    </row>
    <row r="53" spans="1:8">
      <c r="A53" s="2" t="s">
        <v>131</v>
      </c>
      <c r="B53" s="3" t="s">
        <v>118</v>
      </c>
      <c r="C53" s="3"/>
      <c r="D53" s="3" t="s">
        <v>129</v>
      </c>
      <c r="E53" s="2"/>
      <c r="F53" s="2"/>
      <c r="G53" s="2"/>
      <c r="H53" s="2" t="s">
        <v>132</v>
      </c>
    </row>
    <row r="54" spans="1:8">
      <c r="A54" s="2" t="s">
        <v>96</v>
      </c>
      <c r="B54" s="3" t="s">
        <v>118</v>
      </c>
      <c r="C54" s="3"/>
      <c r="D54" s="3" t="s">
        <v>129</v>
      </c>
      <c r="E54" s="2"/>
      <c r="F54" s="2"/>
      <c r="G54" s="2"/>
      <c r="H54" s="2" t="s">
        <v>132</v>
      </c>
    </row>
    <row r="55" spans="1:8">
      <c r="A55" s="2" t="s">
        <v>133</v>
      </c>
      <c r="B55" s="3" t="s">
        <v>118</v>
      </c>
      <c r="C55" s="3"/>
      <c r="D55" s="3" t="s">
        <v>129</v>
      </c>
      <c r="E55" s="2"/>
      <c r="F55" s="2"/>
      <c r="G55" s="2"/>
      <c r="H55" s="2" t="s">
        <v>134</v>
      </c>
    </row>
    <row r="56" spans="1:8">
      <c r="A56" s="2" t="s">
        <v>135</v>
      </c>
      <c r="B56" s="3" t="s">
        <v>118</v>
      </c>
      <c r="C56" s="3"/>
      <c r="D56" s="3" t="s">
        <v>129</v>
      </c>
      <c r="E56" s="2"/>
      <c r="F56" s="2"/>
      <c r="G56" s="2"/>
      <c r="H56" s="2" t="s">
        <v>136</v>
      </c>
    </row>
    <row r="57" spans="1:8" ht="15"/>
    <row r="58" spans="1:8" ht="15"/>
    <row r="59" spans="1:8" ht="15"/>
    <row r="60" spans="1:8" ht="15"/>
    <row r="61" spans="1:8" ht="1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8C964-201A-49F2-A420-2AA94C18C1FF}">
  <dimension ref="A1:K25"/>
  <sheetViews>
    <sheetView workbookViewId="0">
      <selection activeCell="A13" sqref="A13"/>
    </sheetView>
  </sheetViews>
  <sheetFormatPr defaultRowHeight="15" customHeight="1"/>
  <cols>
    <col min="1" max="1" width="18.85546875" bestFit="1" customWidth="1"/>
    <col min="2" max="2" width="22.140625" bestFit="1" customWidth="1"/>
    <col min="3" max="3" width="25.85546875" bestFit="1" customWidth="1"/>
    <col min="4" max="4" width="18.140625" bestFit="1" customWidth="1"/>
    <col min="5" max="5" width="40" customWidth="1"/>
    <col min="6" max="6" width="22.140625" customWidth="1"/>
    <col min="7" max="8" width="12.85546875" customWidth="1"/>
    <col min="9" max="9" width="40.5703125" bestFit="1" customWidth="1"/>
    <col min="10" max="10" width="40.5703125" customWidth="1"/>
  </cols>
  <sheetData>
    <row r="1" spans="1:11" ht="15.4" customHeight="1">
      <c r="A1" s="24" t="s">
        <v>137</v>
      </c>
    </row>
    <row r="2" spans="1:11" ht="4.5" customHeight="1"/>
    <row r="3" spans="1:11">
      <c r="A3" s="1" t="s">
        <v>0</v>
      </c>
      <c r="B3" s="1" t="s">
        <v>138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139</v>
      </c>
      <c r="I3" s="27" t="s">
        <v>7</v>
      </c>
      <c r="J3" s="30"/>
    </row>
    <row r="4" spans="1:11" s="15" customFormat="1">
      <c r="A4" s="2" t="s">
        <v>140</v>
      </c>
      <c r="B4" s="2"/>
      <c r="C4" s="2" t="s">
        <v>141</v>
      </c>
      <c r="D4" s="3" t="s">
        <v>142</v>
      </c>
      <c r="E4" s="13" t="s">
        <v>143</v>
      </c>
      <c r="F4" s="2"/>
      <c r="G4" s="28">
        <v>0.75</v>
      </c>
      <c r="H4" s="28"/>
      <c r="I4" s="13"/>
      <c r="J4" s="31"/>
    </row>
    <row r="5" spans="1:11" s="19" customFormat="1">
      <c r="A5" s="2" t="s">
        <v>144</v>
      </c>
      <c r="B5" s="2" t="s">
        <v>145</v>
      </c>
      <c r="C5" s="2" t="s">
        <v>146</v>
      </c>
      <c r="D5" s="3" t="s">
        <v>142</v>
      </c>
      <c r="E5" s="13" t="s">
        <v>147</v>
      </c>
      <c r="F5" s="2" t="s">
        <v>148</v>
      </c>
      <c r="G5" s="28">
        <v>1</v>
      </c>
      <c r="H5" s="28"/>
      <c r="I5" s="13"/>
      <c r="J5" s="31"/>
    </row>
    <row r="6" spans="1:11" s="19" customFormat="1">
      <c r="A6" s="2" t="s">
        <v>149</v>
      </c>
      <c r="B6" s="2" t="s">
        <v>145</v>
      </c>
      <c r="C6" s="2" t="s">
        <v>146</v>
      </c>
      <c r="D6" s="3" t="s">
        <v>142</v>
      </c>
      <c r="E6" s="13" t="s">
        <v>150</v>
      </c>
      <c r="F6" s="2"/>
      <c r="G6" s="28">
        <v>0.5</v>
      </c>
      <c r="H6" s="28"/>
      <c r="I6" s="13" t="s">
        <v>151</v>
      </c>
      <c r="J6" s="31"/>
    </row>
    <row r="7" spans="1:11" s="11" customFormat="1">
      <c r="A7" s="2" t="s">
        <v>152</v>
      </c>
      <c r="B7" s="2" t="s">
        <v>145</v>
      </c>
      <c r="C7" s="2" t="s">
        <v>146</v>
      </c>
      <c r="D7" s="3" t="s">
        <v>142</v>
      </c>
      <c r="E7" s="13" t="s">
        <v>153</v>
      </c>
      <c r="F7" s="2" t="s">
        <v>154</v>
      </c>
      <c r="G7" s="28">
        <v>1</v>
      </c>
      <c r="H7" s="28"/>
      <c r="I7" s="13" t="s">
        <v>155</v>
      </c>
      <c r="J7" s="31"/>
    </row>
    <row r="8" spans="1:11" s="11" customFormat="1">
      <c r="A8" s="2" t="s">
        <v>156</v>
      </c>
      <c r="B8" s="2" t="s">
        <v>145</v>
      </c>
      <c r="C8" s="2" t="s">
        <v>146</v>
      </c>
      <c r="D8" s="3" t="s">
        <v>157</v>
      </c>
      <c r="E8" s="13" t="s">
        <v>158</v>
      </c>
      <c r="F8" s="2"/>
      <c r="G8" s="28"/>
      <c r="H8" s="28"/>
      <c r="I8" s="13"/>
      <c r="J8" s="32"/>
      <c r="K8" s="20"/>
    </row>
    <row r="9" spans="1:11" s="11" customFormat="1">
      <c r="A9" s="2" t="s">
        <v>159</v>
      </c>
      <c r="B9" s="2" t="s">
        <v>145</v>
      </c>
      <c r="C9" s="2" t="s">
        <v>146</v>
      </c>
      <c r="D9" s="3" t="s">
        <v>157</v>
      </c>
      <c r="E9" s="13" t="s">
        <v>158</v>
      </c>
      <c r="F9" s="2"/>
      <c r="G9" s="28"/>
      <c r="H9" s="28"/>
      <c r="I9" s="13"/>
      <c r="J9" s="31"/>
    </row>
    <row r="10" spans="1:11" s="11" customFormat="1">
      <c r="A10" s="2" t="s">
        <v>160</v>
      </c>
      <c r="B10" s="2" t="s">
        <v>145</v>
      </c>
      <c r="C10" s="2" t="s">
        <v>146</v>
      </c>
      <c r="D10" s="3" t="s">
        <v>157</v>
      </c>
      <c r="E10" s="13"/>
      <c r="F10" s="2"/>
      <c r="G10" s="2"/>
      <c r="H10" s="2"/>
      <c r="I10" s="13"/>
      <c r="J10" s="31"/>
    </row>
    <row r="11" spans="1:11">
      <c r="A11" s="2" t="s">
        <v>161</v>
      </c>
      <c r="B11" s="2" t="s">
        <v>145</v>
      </c>
      <c r="C11" s="2" t="s">
        <v>146</v>
      </c>
      <c r="D11" s="3" t="s">
        <v>157</v>
      </c>
      <c r="E11" s="13" t="s">
        <v>158</v>
      </c>
      <c r="F11" s="2"/>
      <c r="G11" s="2"/>
      <c r="H11" s="2"/>
      <c r="I11" s="13"/>
      <c r="J11" s="31"/>
    </row>
    <row r="12" spans="1:11" s="11" customFormat="1">
      <c r="A12" s="2"/>
      <c r="B12" s="2"/>
      <c r="C12" s="2"/>
      <c r="D12" s="3"/>
      <c r="E12" s="13"/>
      <c r="F12" s="2"/>
      <c r="G12" s="2"/>
      <c r="H12" s="2"/>
      <c r="I12" s="13"/>
      <c r="J12" s="31"/>
    </row>
    <row r="13" spans="1:11" s="11" customFormat="1" ht="18.75">
      <c r="A13" s="40" t="s">
        <v>162</v>
      </c>
      <c r="B13" s="2"/>
      <c r="C13" s="2"/>
      <c r="D13" s="3"/>
      <c r="E13" s="13"/>
      <c r="F13" s="2"/>
      <c r="G13" s="2"/>
      <c r="H13" s="2"/>
      <c r="I13" s="13"/>
      <c r="J13" s="31"/>
    </row>
    <row r="14" spans="1:11" s="22" customFormat="1">
      <c r="A14" s="34" t="s">
        <v>163</v>
      </c>
      <c r="B14" s="34" t="s">
        <v>145</v>
      </c>
      <c r="C14" s="34" t="s">
        <v>164</v>
      </c>
      <c r="D14" s="35" t="s">
        <v>142</v>
      </c>
      <c r="E14" s="36" t="s">
        <v>165</v>
      </c>
      <c r="F14" s="34" t="s">
        <v>166</v>
      </c>
      <c r="G14" s="37">
        <v>0.5</v>
      </c>
      <c r="H14" s="37"/>
      <c r="I14" s="36" t="s">
        <v>162</v>
      </c>
      <c r="J14" s="38"/>
      <c r="K14" s="39"/>
    </row>
    <row r="15" spans="1:11">
      <c r="A15" s="34" t="s">
        <v>167</v>
      </c>
      <c r="B15" s="34" t="s">
        <v>145</v>
      </c>
      <c r="C15" s="34" t="s">
        <v>146</v>
      </c>
      <c r="D15" s="35" t="s">
        <v>157</v>
      </c>
      <c r="E15" s="36"/>
      <c r="F15" s="34" t="s">
        <v>168</v>
      </c>
      <c r="G15" s="37">
        <v>0.5</v>
      </c>
      <c r="H15" s="37"/>
      <c r="I15" s="36" t="s">
        <v>162</v>
      </c>
      <c r="J15" s="38"/>
      <c r="K15" s="39"/>
    </row>
    <row r="16" spans="1:11">
      <c r="A16" s="2"/>
      <c r="B16" s="2"/>
      <c r="C16" s="2"/>
      <c r="D16" s="3"/>
      <c r="E16" s="2"/>
      <c r="F16" s="2"/>
      <c r="G16" s="2"/>
      <c r="H16" s="2"/>
      <c r="I16" s="13"/>
      <c r="J16" s="31"/>
    </row>
    <row r="17" spans="1:10">
      <c r="A17" s="2"/>
      <c r="B17" s="2"/>
      <c r="C17" s="2"/>
      <c r="D17" s="3"/>
      <c r="E17" s="2"/>
      <c r="F17" s="2"/>
      <c r="G17" s="2"/>
      <c r="H17" s="2"/>
      <c r="I17" s="13"/>
      <c r="J17" s="31"/>
    </row>
    <row r="18" spans="1:10" s="22" customFormat="1">
      <c r="A18" s="2"/>
      <c r="B18" s="2"/>
      <c r="C18" s="2"/>
      <c r="D18" s="2"/>
      <c r="E18" s="2"/>
      <c r="F18" s="2"/>
      <c r="G18" s="2"/>
      <c r="H18" s="2"/>
      <c r="I18" s="13"/>
      <c r="J18" s="31"/>
    </row>
    <row r="19" spans="1:10" s="22" customFormat="1">
      <c r="A19" s="2"/>
      <c r="B19" s="2"/>
      <c r="C19" s="2"/>
      <c r="D19" s="2"/>
      <c r="E19" s="2"/>
      <c r="F19" s="2"/>
      <c r="G19" s="2"/>
      <c r="H19" s="2"/>
      <c r="I19" s="13"/>
      <c r="J19" s="31"/>
    </row>
    <row r="20" spans="1:10" s="8" customFormat="1">
      <c r="A20" s="2"/>
      <c r="B20" s="2"/>
      <c r="C20" s="2"/>
      <c r="D20" s="3"/>
      <c r="E20" s="13"/>
      <c r="F20" s="2"/>
      <c r="G20" s="2"/>
      <c r="H20" s="2"/>
      <c r="I20" s="13"/>
      <c r="J20" s="31"/>
    </row>
    <row r="21" spans="1:10" s="8" customFormat="1">
      <c r="A21" s="2"/>
      <c r="B21" s="2"/>
      <c r="C21" s="2"/>
      <c r="D21" s="3"/>
      <c r="E21" s="13"/>
      <c r="F21" s="2"/>
      <c r="G21" s="2"/>
      <c r="H21" s="2"/>
      <c r="I21" s="13"/>
      <c r="J21" s="31"/>
    </row>
    <row r="22" spans="1:10" s="8" customFormat="1">
      <c r="A22" s="2"/>
      <c r="B22" s="2"/>
      <c r="C22" s="2"/>
      <c r="D22" s="3"/>
      <c r="E22" s="13"/>
      <c r="F22" s="2"/>
      <c r="G22" s="2"/>
      <c r="H22" s="2"/>
      <c r="I22" s="13"/>
      <c r="J22" s="31"/>
    </row>
    <row r="23" spans="1:10" s="8" customFormat="1">
      <c r="A23" s="2"/>
      <c r="B23" s="2"/>
      <c r="C23" s="2"/>
      <c r="D23" s="3"/>
      <c r="E23" s="13"/>
      <c r="F23" s="2"/>
      <c r="G23" s="2"/>
      <c r="H23" s="2"/>
      <c r="I23" s="13"/>
      <c r="J23" s="31"/>
    </row>
    <row r="24" spans="1:10">
      <c r="A24" s="2"/>
      <c r="B24" s="2"/>
      <c r="C24" s="2"/>
      <c r="D24" s="2"/>
      <c r="E24" s="2"/>
      <c r="F24" s="2"/>
      <c r="G24" s="2"/>
      <c r="H24" s="2"/>
      <c r="I24" s="2"/>
    </row>
    <row r="25" spans="1:10">
      <c r="A25" s="2"/>
      <c r="B25" s="2"/>
      <c r="C25" s="2"/>
      <c r="D25" s="2"/>
      <c r="E25" s="2"/>
      <c r="F25" s="2"/>
      <c r="G25" s="2"/>
      <c r="H25" s="2"/>
      <c r="I2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Arunava Chakrabarty</dc:creator>
  <cp:keywords/>
  <dc:description/>
  <cp:lastModifiedBy/>
  <cp:revision/>
  <dcterms:created xsi:type="dcterms:W3CDTF">2026-01-27T04:12:01Z</dcterms:created>
  <dcterms:modified xsi:type="dcterms:W3CDTF">2026-08-31T09:07:09Z</dcterms:modified>
  <cp:category/>
  <cp:contentStatus/>
</cp:coreProperties>
</file>